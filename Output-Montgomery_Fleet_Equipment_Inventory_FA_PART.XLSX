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esktop\"/>
    </mc:Choice>
  </mc:AlternateContent>
  <xr:revisionPtr revIDLastSave="0" documentId="13_ncr:1_{B587A799-AC41-480F-A90C-CCACBC274E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  <sheet name="Table1" sheetId="3" r:id="rId2"/>
    <sheet name="Table2" sheetId="2" r:id="rId3"/>
    <sheet name="Table3" sheetId="4" r:id="rId4"/>
  </sheets>
  <definedNames>
    <definedName name="_xlnm._FilterDatabase" localSheetId="0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C1048576" i="1"/>
</calcChain>
</file>

<file path=xl/sharedStrings.xml><?xml version="1.0" encoding="utf-8"?>
<sst xmlns="http://schemas.openxmlformats.org/spreadsheetml/2006/main" count="167" uniqueCount="37">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</sst>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l Chacherkar" refreshedDate="45384.563767245367" createdVersion="8" refreshedVersion="8" minRefreshableVersion="3" recordCount="49" xr:uid="{80C5AA97-90F0-41B8-9F58-99832370A906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738A10-7AFE-4B14-B3D0-339F657F86D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8" firstHeaderRow="1" firstDataRow="1" firstDataCol="1"/>
  <pivotFields count="3">
    <pivotField showAll="0"/>
    <pivotField axis="axisRow" showAll="0" sortType="descending">
      <items count="15">
        <item x="3"/>
        <item x="13"/>
        <item x="1"/>
        <item x="2"/>
        <item x="9"/>
        <item x="8"/>
        <item x="11"/>
        <item x="12"/>
        <item x="10"/>
        <item x="0"/>
        <item x="7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15">
    <i>
      <x v="1"/>
    </i>
    <i>
      <x v="12"/>
    </i>
    <i>
      <x v="10"/>
    </i>
    <i>
      <x v="9"/>
    </i>
    <i>
      <x v="3"/>
    </i>
    <i>
      <x v="11"/>
    </i>
    <i>
      <x v="2"/>
    </i>
    <i>
      <x/>
    </i>
    <i>
      <x v="6"/>
    </i>
    <i>
      <x v="5"/>
    </i>
    <i>
      <x v="13"/>
    </i>
    <i>
      <x v="4"/>
    </i>
    <i>
      <x v="8"/>
    </i>
    <i>
      <x v="7"/>
    </i>
    <i t="grand">
      <x/>
    </i>
  </rowItems>
  <colItems count="1">
    <i/>
  </colItems>
  <dataFields count="1">
    <dataField name="Sum of Equipment Count" fld="2" baseField="0" baseItem="0"/>
  </dataFields>
  <chartFormats count="2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A254F-A8A4-4BDA-BD3A-B664669EA2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A2F12-003B-4541-A0BD-91591D9C492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6"/>
    </i>
    <i r="1">
      <x/>
    </i>
    <i r="1">
      <x v="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1FA6B-8A16-423E-8195-D9F3903947DC}" name="Table1" displayName="Table1" ref="A1:C50" totalsRowShown="0">
  <autoFilter ref="A1:C50" xr:uid="{A811FA6B-8A16-423E-8195-D9F3903947DC}"/>
  <tableColumns count="3">
    <tableColumn id="1" xr3:uid="{FA7CD02E-B9D1-47C4-BB2B-8801372B8F47}" name="Department"/>
    <tableColumn id="2" xr3:uid="{6B0DC240-9F89-4717-98B1-05537E51C729}" name="Equipment Class"/>
    <tableColumn id="3" xr3:uid="{A50398B1-1762-4A09-A260-8A261D9A75A5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576"/>
  <sheetViews>
    <sheetView tabSelected="1" workbookViewId="0">
      <selection activeCell="K26" sqref="K26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 t="s">
        <v>5</v>
      </c>
      <c r="B2" t="s">
        <v>6</v>
      </c>
      <c r="C2">
        <v>21</v>
      </c>
    </row>
    <row r="3" spans="1:8" x14ac:dyDescent="0.3">
      <c r="A3" t="s">
        <v>5</v>
      </c>
      <c r="B3" t="s">
        <v>7</v>
      </c>
      <c r="C3">
        <v>1</v>
      </c>
    </row>
    <row r="4" spans="1:8" x14ac:dyDescent="0.3">
      <c r="A4" t="s">
        <v>5</v>
      </c>
      <c r="B4" t="s">
        <v>4</v>
      </c>
      <c r="C4">
        <v>23</v>
      </c>
    </row>
    <row r="5" spans="1:8" x14ac:dyDescent="0.3">
      <c r="A5" t="s">
        <v>8</v>
      </c>
      <c r="B5" t="s">
        <v>4</v>
      </c>
      <c r="C5">
        <v>2</v>
      </c>
    </row>
    <row r="6" spans="1:8" x14ac:dyDescent="0.3">
      <c r="A6" t="s">
        <v>9</v>
      </c>
      <c r="B6" t="s">
        <v>6</v>
      </c>
      <c r="C6">
        <v>3</v>
      </c>
    </row>
    <row r="7" spans="1:8" x14ac:dyDescent="0.3">
      <c r="A7" t="s">
        <v>9</v>
      </c>
      <c r="B7" t="s">
        <v>10</v>
      </c>
      <c r="C7">
        <v>2</v>
      </c>
    </row>
    <row r="8" spans="1:8" x14ac:dyDescent="0.3">
      <c r="A8" t="s">
        <v>9</v>
      </c>
      <c r="B8" t="s">
        <v>11</v>
      </c>
      <c r="C8">
        <v>1</v>
      </c>
    </row>
    <row r="9" spans="1:8" x14ac:dyDescent="0.3">
      <c r="A9" t="s">
        <v>12</v>
      </c>
      <c r="B9" t="s">
        <v>10</v>
      </c>
      <c r="C9">
        <v>2</v>
      </c>
      <c r="G9" t="s">
        <v>29</v>
      </c>
      <c r="H9">
        <f>SUM(C2:C50)</f>
        <v>1582</v>
      </c>
    </row>
    <row r="10" spans="1:8" x14ac:dyDescent="0.3">
      <c r="A10" t="s">
        <v>12</v>
      </c>
      <c r="B10" t="s">
        <v>13</v>
      </c>
      <c r="C10">
        <v>42</v>
      </c>
      <c r="G10" t="s">
        <v>30</v>
      </c>
      <c r="H10">
        <f>AVERAGE(C2:C50)</f>
        <v>32.285714285714285</v>
      </c>
    </row>
    <row r="11" spans="1:8" x14ac:dyDescent="0.3">
      <c r="A11" t="s">
        <v>12</v>
      </c>
      <c r="B11" t="s">
        <v>7</v>
      </c>
      <c r="C11">
        <v>1</v>
      </c>
      <c r="G11" t="s">
        <v>31</v>
      </c>
      <c r="H11">
        <f>MIN(C2:C50)</f>
        <v>1</v>
      </c>
    </row>
    <row r="12" spans="1:8" x14ac:dyDescent="0.3">
      <c r="A12" t="s">
        <v>12</v>
      </c>
      <c r="B12" t="s">
        <v>4</v>
      </c>
      <c r="C12">
        <v>11</v>
      </c>
      <c r="G12" t="s">
        <v>32</v>
      </c>
      <c r="H12">
        <f>MAX(C2:C50)</f>
        <v>379</v>
      </c>
    </row>
    <row r="13" spans="1:8" x14ac:dyDescent="0.3">
      <c r="A13" t="s">
        <v>14</v>
      </c>
      <c r="B13" t="s">
        <v>7</v>
      </c>
      <c r="C13">
        <v>1</v>
      </c>
      <c r="G13" t="s">
        <v>33</v>
      </c>
      <c r="H13">
        <f>COUNT(C2:C50)</f>
        <v>49</v>
      </c>
    </row>
    <row r="14" spans="1:8" x14ac:dyDescent="0.3">
      <c r="A14" t="s">
        <v>15</v>
      </c>
      <c r="B14" t="s">
        <v>16</v>
      </c>
      <c r="C14">
        <v>9</v>
      </c>
    </row>
    <row r="15" spans="1:8" x14ac:dyDescent="0.3">
      <c r="A15" t="s">
        <v>15</v>
      </c>
      <c r="B15" t="s">
        <v>7</v>
      </c>
      <c r="C15">
        <v>27</v>
      </c>
    </row>
    <row r="16" spans="1:8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  <row r="1048576" spans="3:3" x14ac:dyDescent="0.3">
      <c r="C1048576">
        <f>SUM(C2:C1048575)</f>
        <v>1582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667A-E471-4BF2-807E-4A40B0B82183}">
  <dimension ref="A3:B18"/>
  <sheetViews>
    <sheetView workbookViewId="0">
      <selection activeCell="D18" sqref="D18"/>
    </sheetView>
  </sheetViews>
  <sheetFormatPr defaultRowHeight="14.4" x14ac:dyDescent="0.3"/>
  <cols>
    <col min="1" max="1" width="24.109375" bestFit="1" customWidth="1"/>
    <col min="2" max="2" width="22.5546875" bestFit="1" customWidth="1"/>
    <col min="3" max="3" width="23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27</v>
      </c>
      <c r="B4" s="4">
        <v>379</v>
      </c>
    </row>
    <row r="5" spans="1:2" x14ac:dyDescent="0.3">
      <c r="A5" s="2" t="s">
        <v>13</v>
      </c>
      <c r="B5" s="4">
        <v>290</v>
      </c>
    </row>
    <row r="6" spans="1:2" x14ac:dyDescent="0.3">
      <c r="A6" s="2" t="s">
        <v>28</v>
      </c>
      <c r="B6" s="4">
        <v>283</v>
      </c>
    </row>
    <row r="7" spans="1:2" x14ac:dyDescent="0.3">
      <c r="A7" s="2" t="s">
        <v>6</v>
      </c>
      <c r="B7" s="4">
        <v>150</v>
      </c>
    </row>
    <row r="8" spans="1:2" x14ac:dyDescent="0.3">
      <c r="A8" s="2" t="s">
        <v>4</v>
      </c>
      <c r="B8" s="4">
        <v>130</v>
      </c>
    </row>
    <row r="9" spans="1:2" x14ac:dyDescent="0.3">
      <c r="A9" s="2" t="s">
        <v>11</v>
      </c>
      <c r="B9" s="4">
        <v>100</v>
      </c>
    </row>
    <row r="10" spans="1:2" x14ac:dyDescent="0.3">
      <c r="A10" s="2" t="s">
        <v>7</v>
      </c>
      <c r="B10" s="4">
        <v>90</v>
      </c>
    </row>
    <row r="11" spans="1:2" x14ac:dyDescent="0.3">
      <c r="A11" s="2" t="s">
        <v>10</v>
      </c>
      <c r="B11" s="4">
        <v>65</v>
      </c>
    </row>
    <row r="12" spans="1:2" x14ac:dyDescent="0.3">
      <c r="A12" s="2" t="s">
        <v>22</v>
      </c>
      <c r="B12" s="4">
        <v>47</v>
      </c>
    </row>
    <row r="13" spans="1:2" x14ac:dyDescent="0.3">
      <c r="A13" s="2" t="s">
        <v>3</v>
      </c>
      <c r="B13" s="4">
        <v>20</v>
      </c>
    </row>
    <row r="14" spans="1:2" x14ac:dyDescent="0.3">
      <c r="A14" s="2" t="s">
        <v>16</v>
      </c>
      <c r="B14" s="4">
        <v>15</v>
      </c>
    </row>
    <row r="15" spans="1:2" x14ac:dyDescent="0.3">
      <c r="A15" s="2" t="s">
        <v>20</v>
      </c>
      <c r="B15" s="4">
        <v>8</v>
      </c>
    </row>
    <row r="16" spans="1:2" x14ac:dyDescent="0.3">
      <c r="A16" s="2" t="s">
        <v>21</v>
      </c>
      <c r="B16" s="4">
        <v>4</v>
      </c>
    </row>
    <row r="17" spans="1:2" x14ac:dyDescent="0.3">
      <c r="A17" s="2" t="s">
        <v>23</v>
      </c>
      <c r="B17" s="4">
        <v>1</v>
      </c>
    </row>
    <row r="18" spans="1:2" x14ac:dyDescent="0.3">
      <c r="A18" s="2" t="s">
        <v>35</v>
      </c>
      <c r="B18" s="4">
        <v>1582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BD80-BC17-4336-B087-6A4F3B443206}">
  <dimension ref="A3:B25"/>
  <sheetViews>
    <sheetView workbookViewId="0">
      <selection activeCell="A3" sqref="A3"/>
    </sheetView>
  </sheetViews>
  <sheetFormatPr defaultRowHeight="14.4" x14ac:dyDescent="0.3"/>
  <cols>
    <col min="1" max="1" width="30.109375" bestFit="1" customWidth="1"/>
    <col min="2" max="2" width="22.5546875" bestFit="1" customWidth="1"/>
    <col min="3" max="10" width="2" bestFit="1" customWidth="1"/>
    <col min="11" max="25" width="3" bestFit="1" customWidth="1"/>
    <col min="26" max="28" width="4" bestFit="1" customWidth="1"/>
    <col min="29" max="29" width="10.777343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>
        <v>1221</v>
      </c>
    </row>
    <row r="5" spans="1:2" x14ac:dyDescent="0.3">
      <c r="A5" s="3" t="s">
        <v>16</v>
      </c>
      <c r="B5">
        <v>5</v>
      </c>
    </row>
    <row r="6" spans="1:2" x14ac:dyDescent="0.3">
      <c r="A6" s="3" t="s">
        <v>13</v>
      </c>
      <c r="B6">
        <v>248</v>
      </c>
    </row>
    <row r="7" spans="1:2" x14ac:dyDescent="0.3">
      <c r="A7" s="3" t="s">
        <v>11</v>
      </c>
      <c r="B7">
        <v>98</v>
      </c>
    </row>
    <row r="8" spans="1:2" x14ac:dyDescent="0.3">
      <c r="A8" s="3" t="s">
        <v>28</v>
      </c>
      <c r="B8">
        <v>276</v>
      </c>
    </row>
    <row r="9" spans="1:2" x14ac:dyDescent="0.3">
      <c r="A9" s="3" t="s">
        <v>6</v>
      </c>
      <c r="B9">
        <v>93</v>
      </c>
    </row>
    <row r="10" spans="1:2" x14ac:dyDescent="0.3">
      <c r="A10" s="3" t="s">
        <v>4</v>
      </c>
      <c r="B10">
        <v>37</v>
      </c>
    </row>
    <row r="11" spans="1:2" x14ac:dyDescent="0.3">
      <c r="A11" s="3" t="s">
        <v>7</v>
      </c>
      <c r="B11">
        <v>53</v>
      </c>
    </row>
    <row r="12" spans="1:2" x14ac:dyDescent="0.3">
      <c r="A12" s="3" t="s">
        <v>27</v>
      </c>
      <c r="B12">
        <v>379</v>
      </c>
    </row>
    <row r="13" spans="1:2" x14ac:dyDescent="0.3">
      <c r="A13" s="3" t="s">
        <v>10</v>
      </c>
      <c r="B13">
        <v>32</v>
      </c>
    </row>
    <row r="14" spans="1:2" x14ac:dyDescent="0.3">
      <c r="A14" s="2" t="s">
        <v>25</v>
      </c>
      <c r="B14">
        <v>16</v>
      </c>
    </row>
    <row r="15" spans="1:2" x14ac:dyDescent="0.3">
      <c r="A15" s="2" t="s">
        <v>24</v>
      </c>
      <c r="B15">
        <v>5</v>
      </c>
    </row>
    <row r="16" spans="1:2" x14ac:dyDescent="0.3">
      <c r="A16" s="2" t="s">
        <v>19</v>
      </c>
      <c r="B16">
        <v>85</v>
      </c>
    </row>
    <row r="17" spans="1:2" x14ac:dyDescent="0.3">
      <c r="A17" s="2" t="s">
        <v>18</v>
      </c>
      <c r="B17">
        <v>35</v>
      </c>
    </row>
    <row r="18" spans="1:2" x14ac:dyDescent="0.3">
      <c r="A18" s="2" t="s">
        <v>17</v>
      </c>
      <c r="B18">
        <v>1</v>
      </c>
    </row>
    <row r="19" spans="1:2" x14ac:dyDescent="0.3">
      <c r="A19" s="2" t="s">
        <v>15</v>
      </c>
      <c r="B19">
        <v>109</v>
      </c>
    </row>
    <row r="20" spans="1:2" x14ac:dyDescent="0.3">
      <c r="A20" s="2" t="s">
        <v>14</v>
      </c>
      <c r="B20">
        <v>1</v>
      </c>
    </row>
    <row r="21" spans="1:2" x14ac:dyDescent="0.3">
      <c r="A21" s="2" t="s">
        <v>12</v>
      </c>
      <c r="B21">
        <v>56</v>
      </c>
    </row>
    <row r="22" spans="1:2" x14ac:dyDescent="0.3">
      <c r="A22" s="2" t="s">
        <v>9</v>
      </c>
      <c r="B22">
        <v>6</v>
      </c>
    </row>
    <row r="23" spans="1:2" x14ac:dyDescent="0.3">
      <c r="A23" s="2" t="s">
        <v>8</v>
      </c>
      <c r="B23">
        <v>2</v>
      </c>
    </row>
    <row r="24" spans="1:2" x14ac:dyDescent="0.3">
      <c r="A24" s="2" t="s">
        <v>5</v>
      </c>
      <c r="B24">
        <v>45</v>
      </c>
    </row>
    <row r="25" spans="1:2" x14ac:dyDescent="0.3">
      <c r="A25" s="2" t="s">
        <v>35</v>
      </c>
      <c r="B25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800B-3D43-40E0-AD5C-1509FDA9D5C2}">
  <dimension ref="A3:B21"/>
  <sheetViews>
    <sheetView workbookViewId="0">
      <selection activeCell="J23" sqref="J23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 s="4">
        <v>15</v>
      </c>
    </row>
    <row r="5" spans="1:2" x14ac:dyDescent="0.3">
      <c r="A5" s="3" t="s">
        <v>15</v>
      </c>
      <c r="B5" s="4">
        <v>9</v>
      </c>
    </row>
    <row r="6" spans="1:2" x14ac:dyDescent="0.3">
      <c r="A6" s="3" t="s">
        <v>26</v>
      </c>
      <c r="B6" s="4">
        <v>5</v>
      </c>
    </row>
    <row r="7" spans="1:2" x14ac:dyDescent="0.3">
      <c r="A7" s="3" t="s">
        <v>25</v>
      </c>
      <c r="B7" s="4">
        <v>1</v>
      </c>
    </row>
    <row r="8" spans="1:2" x14ac:dyDescent="0.3">
      <c r="A8" s="2" t="s">
        <v>13</v>
      </c>
      <c r="B8" s="4">
        <v>290</v>
      </c>
    </row>
    <row r="9" spans="1:2" x14ac:dyDescent="0.3">
      <c r="A9" s="2" t="s">
        <v>11</v>
      </c>
      <c r="B9" s="4">
        <v>100</v>
      </c>
    </row>
    <row r="10" spans="1:2" x14ac:dyDescent="0.3">
      <c r="A10" s="2" t="s">
        <v>28</v>
      </c>
      <c r="B10" s="4">
        <v>283</v>
      </c>
    </row>
    <row r="11" spans="1:2" x14ac:dyDescent="0.3">
      <c r="A11" s="2" t="s">
        <v>6</v>
      </c>
      <c r="B11" s="4">
        <v>150</v>
      </c>
    </row>
    <row r="12" spans="1:2" x14ac:dyDescent="0.3">
      <c r="A12" s="2" t="s">
        <v>21</v>
      </c>
      <c r="B12" s="4">
        <v>4</v>
      </c>
    </row>
    <row r="13" spans="1:2" x14ac:dyDescent="0.3">
      <c r="A13" s="2" t="s">
        <v>23</v>
      </c>
      <c r="B13" s="4">
        <v>1</v>
      </c>
    </row>
    <row r="14" spans="1:2" x14ac:dyDescent="0.3">
      <c r="A14" s="2" t="s">
        <v>22</v>
      </c>
      <c r="B14" s="4">
        <v>47</v>
      </c>
    </row>
    <row r="15" spans="1:2" x14ac:dyDescent="0.3">
      <c r="A15" s="2" t="s">
        <v>3</v>
      </c>
      <c r="B15" s="4">
        <v>20</v>
      </c>
    </row>
    <row r="16" spans="1:2" x14ac:dyDescent="0.3">
      <c r="A16" s="2" t="s">
        <v>20</v>
      </c>
      <c r="B16" s="4">
        <v>8</v>
      </c>
    </row>
    <row r="17" spans="1:2" x14ac:dyDescent="0.3">
      <c r="A17" s="2" t="s">
        <v>4</v>
      </c>
      <c r="B17" s="4">
        <v>130</v>
      </c>
    </row>
    <row r="18" spans="1:2" x14ac:dyDescent="0.3">
      <c r="A18" s="2" t="s">
        <v>7</v>
      </c>
      <c r="B18" s="4">
        <v>90</v>
      </c>
    </row>
    <row r="19" spans="1:2" x14ac:dyDescent="0.3">
      <c r="A19" s="2" t="s">
        <v>27</v>
      </c>
      <c r="B19" s="4">
        <v>379</v>
      </c>
    </row>
    <row r="20" spans="1:2" x14ac:dyDescent="0.3">
      <c r="A20" s="2" t="s">
        <v>10</v>
      </c>
      <c r="B20" s="4">
        <v>65</v>
      </c>
    </row>
    <row r="21" spans="1:2" x14ac:dyDescent="0.3">
      <c r="A21" s="2" t="s">
        <v>35</v>
      </c>
      <c r="B21" s="4">
        <v>1582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Table1</vt:lpstr>
      <vt:lpstr>Table2</vt:lpstr>
      <vt:lpstr>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Chacherkar</dc:creator>
  <cp:lastModifiedBy>Sahil Chacherkar</cp:lastModifiedBy>
  <cp:lastPrinted>2024-05-03T09:57:31Z</cp:lastPrinted>
  <dcterms:created xsi:type="dcterms:W3CDTF">2020-09-01T17:18:12Z</dcterms:created>
  <dcterms:modified xsi:type="dcterms:W3CDTF">2024-05-03T10:41:14Z</dcterms:modified>
</cp:coreProperties>
</file>